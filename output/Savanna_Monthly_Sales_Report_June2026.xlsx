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vs Target" sheetId="1" state="visible" r:id="rId3"/>
    <sheet name="Top SKUs" sheetId="2" state="visible" r:id="rId4"/>
    <sheet name="By Distributor" sheetId="3" state="visible" r:id="rId5"/>
    <sheet name="Data Quality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<sst xmlns="http://schemas.openxmlformats.org/spreadsheetml/2006/main" count="74" uniqueCount="61">
  <si>
    <t xml:space="preserve">SALES vs TARGET — BY REGION</t>
  </si>
  <si>
    <t xml:space="preserve">Savanna Beverages (demo data) · June 2026 · generated 03 Jul 2026 07:32</t>
  </si>
  <si>
    <t xml:space="preserve">Region</t>
  </si>
  <si>
    <t xml:space="preserve">Units Sold</t>
  </si>
  <si>
    <t xml:space="preserve">Revenue (Ksh)</t>
  </si>
  <si>
    <t xml:space="preserve">Target (Ksh)</t>
  </si>
  <si>
    <t xml:space="preserve">Achievement %</t>
  </si>
  <si>
    <t xml:space="preserve">Central</t>
  </si>
  <si>
    <t xml:space="preserve">Coast</t>
  </si>
  <si>
    <t xml:space="preserve">Nairobi</t>
  </si>
  <si>
    <t xml:space="preserve">Rift Valley</t>
  </si>
  <si>
    <t xml:space="preserve">Western</t>
  </si>
  <si>
    <t xml:space="preserve">TOTAL</t>
  </si>
  <si>
    <t xml:space="preserve">PRODUCT PERFORMANCE — JUNE</t>
  </si>
  <si>
    <t xml:space="preserve">SKU</t>
  </si>
  <si>
    <t xml:space="preserve">Product</t>
  </si>
  <si>
    <t xml:space="preserve">Units</t>
  </si>
  <si>
    <t xml:space="preserve">SAV-TEA-250</t>
  </si>
  <si>
    <t xml:space="preserve">Savanna Chai 250g</t>
  </si>
  <si>
    <t xml:space="preserve">SAV-COF-250</t>
  </si>
  <si>
    <t xml:space="preserve">Savanna Coffee 250g</t>
  </si>
  <si>
    <t xml:space="preserve">SAV-JUI-500</t>
  </si>
  <si>
    <t xml:space="preserve">Savanna Juice 500ml</t>
  </si>
  <si>
    <t xml:space="preserve">SAV-COC-500</t>
  </si>
  <si>
    <t xml:space="preserve">Savanna Cocoa 500g</t>
  </si>
  <si>
    <t xml:space="preserve">SAV-JUI-1LT</t>
  </si>
  <si>
    <t xml:space="preserve">Savanna Juice 1L</t>
  </si>
  <si>
    <t xml:space="preserve">SAV-COF-100</t>
  </si>
  <si>
    <t xml:space="preserve">Savanna Coffee 100g</t>
  </si>
  <si>
    <t xml:space="preserve">SAV-TEA-100</t>
  </si>
  <si>
    <t xml:space="preserve">Savanna Chai 100g</t>
  </si>
  <si>
    <t xml:space="preserve">SAV-TEA-050</t>
  </si>
  <si>
    <t xml:space="preserve">Savanna Chai 50g</t>
  </si>
  <si>
    <t xml:space="preserve">DISTRIBUTOR SUMMARY — JUNE</t>
  </si>
  <si>
    <t xml:space="preserve">Distributor</t>
  </si>
  <si>
    <t xml:space="preserve">Outlet Touches</t>
  </si>
  <si>
    <t xml:space="preserve">Highlands Agencies</t>
  </si>
  <si>
    <t xml:space="preserve">Lakeview Traders</t>
  </si>
  <si>
    <t xml:space="preserve">Pwani Distributors</t>
  </si>
  <si>
    <t xml:space="preserve">DATA QUALITY — ISSUES CAUGHT &amp; FIXED THIS RUN</t>
  </si>
  <si>
    <t xml:space="preserve">Source file</t>
  </si>
  <si>
    <t xml:space="preserve">Issue found</t>
  </si>
  <si>
    <t xml:space="preserve">Action taken</t>
  </si>
  <si>
    <t xml:space="preserve">Rows affected</t>
  </si>
  <si>
    <t xml:space="preserve">pwani_daily_sales_june.csv</t>
  </si>
  <si>
    <t xml:space="preserve">Duplicate rows</t>
  </si>
  <si>
    <t xml:space="preserve">Removed</t>
  </si>
  <si>
    <t xml:space="preserve">Zero/negative unit rows</t>
  </si>
  <si>
    <t xml:space="preserve">highlands_june_2026.xlsx</t>
  </si>
  <si>
    <t xml:space="preserve">Junk header rows above data</t>
  </si>
  <si>
    <t xml:space="preserve">Skipped</t>
  </si>
  <si>
    <t xml:space="preserve">Stray TOTAL row</t>
  </si>
  <si>
    <t xml:space="preserve">Missing unit values</t>
  </si>
  <si>
    <t xml:space="preserve">Removed &amp; flagged</t>
  </si>
  <si>
    <t xml:space="preserve">Mixed date formats</t>
  </si>
  <si>
    <t xml:space="preserve">Standardised</t>
  </si>
  <si>
    <t xml:space="preserve">Typo'd/inconsistent SKU names</t>
  </si>
  <si>
    <t xml:space="preserve">Mapped to catalogue codes</t>
  </si>
  <si>
    <t xml:space="preserve">lakeview_export_jun26.csv</t>
  </si>
  <si>
    <t xml:space="preserve">Non-standard column names/order</t>
  </si>
  <si>
    <t xml:space="preserve">Mapped to standard schema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</si>
</sst>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4C5C"/>
      <name val="Arial"/>
      <family val="0"/>
      <charset val="1"/>
    </font>
    <font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4C5C"/>
        <bgColor rgb="FF333333"/>
      </patternFill>
    </fill>
    <fill>
      <patternFill patternType="solid">
        <fgColor rgb="FFE8EE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E8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C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4189</v>
      </c>
      <c r="C5" s="5" t="n">
        <v>920370</v>
      </c>
      <c r="D5" s="5" t="n">
        <v>850000</v>
      </c>
      <c r="E5" s="6" t="n">
        <f aca="false">C5/D5</f>
        <v>1.08278823529412</v>
      </c>
    </row>
    <row r="6" customFormat="false" ht="15" hidden="false" customHeight="false" outlineLevel="0" collapsed="false">
      <c r="A6" s="4" t="s">
        <v>8</v>
      </c>
      <c r="B6" s="5" t="n">
        <v>4696</v>
      </c>
      <c r="C6" s="5" t="n">
        <v>1052495</v>
      </c>
      <c r="D6" s="5" t="n">
        <v>1150000</v>
      </c>
      <c r="E6" s="6" t="n">
        <f aca="false">C6/D6</f>
        <v>0.915213043478261</v>
      </c>
    </row>
    <row r="7" customFormat="false" ht="15" hidden="false" customHeight="false" outlineLevel="0" collapsed="false">
      <c r="A7" s="4" t="s">
        <v>9</v>
      </c>
      <c r="B7" s="5" t="n">
        <v>9160</v>
      </c>
      <c r="C7" s="5" t="n">
        <v>2080635</v>
      </c>
      <c r="D7" s="5" t="n">
        <v>2300000</v>
      </c>
      <c r="E7" s="6" t="n">
        <f aca="false">C7/D7</f>
        <v>0.904623913043478</v>
      </c>
    </row>
    <row r="8" customFormat="false" ht="15" hidden="false" customHeight="false" outlineLevel="0" collapsed="false">
      <c r="A8" s="4" t="s">
        <v>10</v>
      </c>
      <c r="B8" s="5" t="n">
        <v>5297</v>
      </c>
      <c r="C8" s="5" t="n">
        <v>1237785</v>
      </c>
      <c r="D8" s="5" t="n">
        <v>1500000</v>
      </c>
      <c r="E8" s="6" t="n">
        <f aca="false">C8/D8</f>
        <v>0.82519</v>
      </c>
    </row>
    <row r="9" customFormat="false" ht="15" hidden="false" customHeight="false" outlineLevel="0" collapsed="false">
      <c r="A9" s="4" t="s">
        <v>11</v>
      </c>
      <c r="B9" s="5" t="n">
        <v>4770</v>
      </c>
      <c r="C9" s="5" t="n">
        <v>1058690</v>
      </c>
      <c r="D9" s="5" t="n">
        <v>1000000</v>
      </c>
      <c r="E9" s="6" t="n">
        <f aca="false">C9/D9</f>
        <v>1.05869</v>
      </c>
    </row>
    <row r="10" customFormat="false" ht="15" hidden="false" customHeight="false" outlineLevel="0" collapsed="false">
      <c r="A10" s="7" t="s">
        <v>12</v>
      </c>
      <c r="B10" s="8" t="n">
        <f aca="false">SUM(B5:B9)</f>
        <v>28112</v>
      </c>
      <c r="C10" s="8" t="n">
        <f aca="false">SUM(C5:C9)</f>
        <v>6349975</v>
      </c>
      <c r="D10" s="8" t="n">
        <f aca="false">SUM(D5:D9)</f>
        <v>6800000</v>
      </c>
      <c r="E10" s="9" t="n">
        <f aca="false">C10/D10</f>
        <v>0.933819852941176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14</v>
      </c>
      <c r="B4" s="3" t="s">
        <v>15</v>
      </c>
      <c r="C4" s="3" t="s">
        <v>16</v>
      </c>
      <c r="D4" s="3" t="s">
        <v>4</v>
      </c>
    </row>
    <row r="5" customFormat="false" ht="15" hidden="false" customHeight="false" outlineLevel="0" collapsed="false">
      <c r="A5" s="4" t="s">
        <v>17</v>
      </c>
      <c r="B5" s="4" t="s">
        <v>18</v>
      </c>
      <c r="C5" s="5" t="n">
        <v>3518</v>
      </c>
      <c r="D5" s="5" t="n">
        <v>1301660</v>
      </c>
    </row>
    <row r="6" customFormat="false" ht="15" hidden="false" customHeight="false" outlineLevel="0" collapsed="false">
      <c r="A6" s="4" t="s">
        <v>19</v>
      </c>
      <c r="B6" s="4" t="s">
        <v>20</v>
      </c>
      <c r="C6" s="5" t="n">
        <v>3384</v>
      </c>
      <c r="D6" s="5" t="n">
        <v>1252080</v>
      </c>
    </row>
    <row r="7" customFormat="false" ht="15" hidden="false" customHeight="false" outlineLevel="0" collapsed="false">
      <c r="A7" s="4" t="s">
        <v>21</v>
      </c>
      <c r="B7" s="4" t="s">
        <v>22</v>
      </c>
      <c r="C7" s="5" t="n">
        <v>3570</v>
      </c>
      <c r="D7" s="5" t="n">
        <v>892500</v>
      </c>
    </row>
    <row r="8" customFormat="false" ht="15" hidden="false" customHeight="false" outlineLevel="0" collapsed="false">
      <c r="A8" s="4" t="s">
        <v>23</v>
      </c>
      <c r="B8" s="4" t="s">
        <v>24</v>
      </c>
      <c r="C8" s="5" t="n">
        <v>3408</v>
      </c>
      <c r="D8" s="5" t="n">
        <v>852000</v>
      </c>
    </row>
    <row r="9" customFormat="false" ht="15" hidden="false" customHeight="false" outlineLevel="0" collapsed="false">
      <c r="A9" s="4" t="s">
        <v>25</v>
      </c>
      <c r="B9" s="4" t="s">
        <v>26</v>
      </c>
      <c r="C9" s="5" t="n">
        <v>3427</v>
      </c>
      <c r="D9" s="5" t="n">
        <v>616860</v>
      </c>
    </row>
    <row r="10" customFormat="false" ht="15" hidden="false" customHeight="false" outlineLevel="0" collapsed="false">
      <c r="A10" s="4" t="s">
        <v>27</v>
      </c>
      <c r="B10" s="4" t="s">
        <v>28</v>
      </c>
      <c r="C10" s="5" t="n">
        <v>3510</v>
      </c>
      <c r="D10" s="5" t="n">
        <v>561600</v>
      </c>
    </row>
    <row r="11" customFormat="false" ht="15" hidden="false" customHeight="false" outlineLevel="0" collapsed="false">
      <c r="A11" s="4" t="s">
        <v>29</v>
      </c>
      <c r="B11" s="4" t="s">
        <v>30</v>
      </c>
      <c r="C11" s="5" t="n">
        <v>3376</v>
      </c>
      <c r="D11" s="5" t="n">
        <v>540160</v>
      </c>
    </row>
    <row r="12" customFormat="false" ht="15" hidden="false" customHeight="false" outlineLevel="0" collapsed="false">
      <c r="A12" s="4" t="s">
        <v>31</v>
      </c>
      <c r="B12" s="4" t="s">
        <v>32</v>
      </c>
      <c r="C12" s="5" t="n">
        <v>3919</v>
      </c>
      <c r="D12" s="5" t="n">
        <v>333115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34</v>
      </c>
      <c r="B4" s="3" t="s">
        <v>16</v>
      </c>
      <c r="C4" s="3" t="s">
        <v>4</v>
      </c>
      <c r="D4" s="3" t="s">
        <v>35</v>
      </c>
    </row>
    <row r="5" customFormat="false" ht="15" hidden="false" customHeight="false" outlineLevel="0" collapsed="false">
      <c r="A5" s="4" t="s">
        <v>36</v>
      </c>
      <c r="B5" s="5" t="n">
        <v>9486</v>
      </c>
      <c r="C5" s="5" t="n">
        <v>2158155</v>
      </c>
      <c r="D5" s="5" t="n">
        <v>2069</v>
      </c>
    </row>
    <row r="6" customFormat="false" ht="15" hidden="false" customHeight="false" outlineLevel="0" collapsed="false">
      <c r="A6" s="4" t="s">
        <v>37</v>
      </c>
      <c r="B6" s="5" t="n">
        <v>9571</v>
      </c>
      <c r="C6" s="5" t="n">
        <v>2137455</v>
      </c>
      <c r="D6" s="5" t="n">
        <v>1044</v>
      </c>
    </row>
    <row r="7" customFormat="false" ht="15" hidden="false" customHeight="false" outlineLevel="0" collapsed="false">
      <c r="A7" s="4" t="s">
        <v>38</v>
      </c>
      <c r="B7" s="5" t="n">
        <v>9055</v>
      </c>
      <c r="C7" s="5" t="n">
        <v>2054365</v>
      </c>
      <c r="D7" s="5" t="n">
        <v>1373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40</v>
      </c>
      <c r="B4" s="3" t="s">
        <v>41</v>
      </c>
      <c r="C4" s="3" t="s">
        <v>42</v>
      </c>
      <c r="D4" s="3" t="s">
        <v>43</v>
      </c>
    </row>
    <row r="5" customFormat="false" ht="15" hidden="false" customHeight="false" outlineLevel="0" collapsed="false">
      <c r="A5" s="4" t="s">
        <v>44</v>
      </c>
      <c r="B5" s="4" t="s">
        <v>45</v>
      </c>
      <c r="C5" s="4" t="s">
        <v>46</v>
      </c>
      <c r="D5" s="4" t="n">
        <v>12</v>
      </c>
    </row>
    <row r="6" customFormat="false" ht="15" hidden="false" customHeight="false" outlineLevel="0" collapsed="false">
      <c r="A6" s="4" t="s">
        <v>44</v>
      </c>
      <c r="B6" s="4" t="s">
        <v>47</v>
      </c>
      <c r="C6" s="4" t="s">
        <v>46</v>
      </c>
      <c r="D6" s="4" t="n">
        <v>3</v>
      </c>
    </row>
    <row r="7" customFormat="false" ht="15" hidden="false" customHeight="false" outlineLevel="0" collapsed="false">
      <c r="A7" s="4" t="s">
        <v>48</v>
      </c>
      <c r="B7" s="4" t="s">
        <v>49</v>
      </c>
      <c r="C7" s="4" t="s">
        <v>50</v>
      </c>
      <c r="D7" s="4" t="n">
        <v>3</v>
      </c>
    </row>
    <row r="8" customFormat="false" ht="15" hidden="false" customHeight="false" outlineLevel="0" collapsed="false">
      <c r="A8" s="4" t="s">
        <v>48</v>
      </c>
      <c r="B8" s="4" t="s">
        <v>51</v>
      </c>
      <c r="C8" s="4" t="s">
        <v>46</v>
      </c>
      <c r="D8" s="4" t="n">
        <v>1</v>
      </c>
    </row>
    <row r="9" customFormat="false" ht="15" hidden="false" customHeight="false" outlineLevel="0" collapsed="false">
      <c r="A9" s="4" t="s">
        <v>48</v>
      </c>
      <c r="B9" s="4" t="s">
        <v>52</v>
      </c>
      <c r="C9" s="4" t="s">
        <v>53</v>
      </c>
      <c r="D9" s="4" t="n">
        <v>9</v>
      </c>
    </row>
    <row r="10" customFormat="false" ht="15" hidden="false" customHeight="false" outlineLevel="0" collapsed="false">
      <c r="A10" s="4" t="s">
        <v>48</v>
      </c>
      <c r="B10" s="4" t="s">
        <v>54</v>
      </c>
      <c r="C10" s="4" t="s">
        <v>55</v>
      </c>
      <c r="D10" s="4" t="n">
        <v>306</v>
      </c>
    </row>
    <row r="11" customFormat="false" ht="15" hidden="false" customHeight="false" outlineLevel="0" collapsed="false">
      <c r="A11" s="4" t="s">
        <v>48</v>
      </c>
      <c r="B11" s="4" t="s">
        <v>56</v>
      </c>
      <c r="C11" s="4" t="s">
        <v>57</v>
      </c>
      <c r="D11" s="4" t="n">
        <v>306</v>
      </c>
    </row>
    <row r="12" customFormat="false" ht="15" hidden="false" customHeight="false" outlineLevel="0" collapsed="false">
      <c r="A12" s="4" t="s">
        <v>58</v>
      </c>
      <c r="B12" s="4" t="s">
        <v>59</v>
      </c>
      <c r="C12" s="4" t="s">
        <v>60</v>
      </c>
      <c r="D12" s="4" t="n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2026-07-03T07:32:18Z</dcterms:created>
  <dc:creator>openpyxl</dc:creator>
  <dc:description/>
  <dc:language>en-US</dc:language>
  <cp:lastModifiedBy/>
  <dcterms:modified xsi:type="dcterms:W3CDTF">2026-07-03T07:32:18Z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